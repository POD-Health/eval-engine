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anthosh/Desktop/podhealth/eval-engine/src/docs/"/>
    </mc:Choice>
  </mc:AlternateContent>
  <xr:revisionPtr revIDLastSave="0" documentId="13_ncr:1_{6E3D03CA-87EF-E24C-A20B-15814A97DEF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st Cases" sheetId="1" r:id="rId1"/>
    <sheet name="Score Summary" sheetId="2" r:id="rId2"/>
    <sheet name="Version Log" sheetId="3" r:id="rId3"/>
    <sheet name="Instruc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G8" i="2"/>
  <c r="F8" i="2"/>
  <c r="C8" i="2"/>
  <c r="A8" i="2"/>
  <c r="H7" i="2"/>
  <c r="G7" i="2"/>
  <c r="F7" i="2"/>
  <c r="C7" i="2"/>
  <c r="A7" i="2"/>
  <c r="H6" i="2"/>
  <c r="G6" i="2"/>
  <c r="F6" i="2"/>
  <c r="C6" i="2"/>
  <c r="A6" i="2"/>
  <c r="H5" i="2"/>
  <c r="G5" i="2"/>
  <c r="F5" i="2"/>
  <c r="C5" i="2"/>
  <c r="A5" i="2"/>
  <c r="H4" i="2"/>
  <c r="G4" i="2"/>
  <c r="F4" i="2"/>
  <c r="C4" i="2"/>
  <c r="A4" i="2"/>
  <c r="E8" i="2"/>
  <c r="D8" i="2"/>
  <c r="E7" i="2"/>
  <c r="D7" i="2"/>
  <c r="E6" i="2"/>
  <c r="D6" i="2"/>
  <c r="E5" i="2"/>
  <c r="D5" i="2"/>
  <c r="K5" i="1"/>
  <c r="E4" i="2" s="1"/>
  <c r="J5" i="1"/>
  <c r="D4" i="2" s="1"/>
  <c r="B14" i="2" l="1"/>
  <c r="C9" i="2"/>
  <c r="D9" i="2"/>
  <c r="B13" i="2"/>
  <c r="B12" i="2"/>
  <c r="B11" i="2"/>
</calcChain>
</file>

<file path=xl/sharedStrings.xml><?xml version="1.0" encoding="utf-8"?>
<sst xmlns="http://schemas.openxmlformats.org/spreadsheetml/2006/main" count="83" uniqueCount="80">
  <si>
    <t xml:space="preserve"> POD HEALTH — AI Data Agent Evaluation Tracker</t>
  </si>
  <si>
    <t>Use this sheet to log AI responses, score accuracy, and track improvements over time after each model change.</t>
  </si>
  <si>
    <t>#</t>
  </si>
  <si>
    <t>Question ID</t>
  </si>
  <si>
    <t>Test Question</t>
  </si>
  <si>
    <t>Expected Answer (Key Points)</t>
  </si>
  <si>
    <t>Qualitative/Quantitative</t>
  </si>
  <si>
    <t>Actual AI Response</t>
  </si>
  <si>
    <t>Response Date</t>
  </si>
  <si>
    <t>Model Version</t>
  </si>
  <si>
    <t>Score (0–10)</t>
  </si>
  <si>
    <t>Accuracy %</t>
  </si>
  <si>
    <t>Pass / Fail</t>
  </si>
  <si>
    <t>Missing / Wrong Info</t>
  </si>
  <si>
    <t>Tester Notes</t>
  </si>
  <si>
    <t>Re-test Needed?</t>
  </si>
  <si>
    <t>Priority</t>
  </si>
  <si>
    <t>Q-001</t>
  </si>
  <si>
    <t>Can you tell me how my child's overall health is progressing?</t>
  </si>
  <si>
    <t>- Summarises recent health trends across all domains (physical, mental, behavioural)
- References latest health log entries
- Highlights improvements or regressions
- Provides actionable next steps</t>
  </si>
  <si>
    <t>Qualitative</t>
  </si>
  <si>
    <t>📊  Evaluation Score Summary</t>
  </si>
  <si>
    <t>Question (Short)</t>
  </si>
  <si>
    <t>Score (0-10)</t>
  </si>
  <si>
    <t>Pass/Fail</t>
  </si>
  <si>
    <t>Re-test?</t>
  </si>
  <si>
    <t>Notes</t>
  </si>
  <si>
    <t>Overall health progress</t>
  </si>
  <si>
    <t>Active medications &amp; side effects</t>
  </si>
  <si>
    <t>Latest research (Autism/ADHD/Dep/Anx)</t>
  </si>
  <si>
    <t>Summarize last uploaded document</t>
  </si>
  <si>
    <t>Summarize child's life logs</t>
  </si>
  <si>
    <t>OVERALL AVERAGE</t>
  </si>
  <si>
    <t>✅ Total Pass</t>
  </si>
  <si>
    <t>⚠️ Total Partial</t>
  </si>
  <si>
    <t>❌ Total Fail</t>
  </si>
  <si>
    <t>🔁 Re-test Required</t>
  </si>
  <si>
    <t>🔄  Model Version Change Log</t>
  </si>
  <si>
    <t>Version</t>
  </si>
  <si>
    <t>Release Date</t>
  </si>
  <si>
    <t>Change Description</t>
  </si>
  <si>
    <t>Avg Score Before</t>
  </si>
  <si>
    <t>Avg Score After</t>
  </si>
  <si>
    <t>Tested By</t>
  </si>
  <si>
    <t>📋  How to Use This Evaluation Tracker</t>
  </si>
  <si>
    <t>WORKFLOW</t>
  </si>
  <si>
    <t>STEP 1</t>
  </si>
  <si>
    <t>Run the Agent</t>
  </si>
  <si>
    <t>Paste the test question from Column C (Test Cases sheet) into the AI agent exactly as written. Do not paraphrase.</t>
  </si>
  <si>
    <t>STEP 2</t>
  </si>
  <si>
    <t>Log the Response</t>
  </si>
  <si>
    <t>Copy the AI's full response into Column E (Actual AI Response) of the relevant question row.</t>
  </si>
  <si>
    <t>STEP 3</t>
  </si>
  <si>
    <t>Score the Response</t>
  </si>
  <si>
    <t>Compare the AI response against the Expected Answer key points (Column D). Award a score 0–10 where 10 = all key points addressed accurately.</t>
  </si>
  <si>
    <t>STEP 4</t>
  </si>
  <si>
    <t>Fill Remaining Cols</t>
  </si>
  <si>
    <t>Record the Response Date, Model Version, any missing/wrong info, notes, re-test need, and priority level.</t>
  </si>
  <si>
    <t>STEP 5</t>
  </si>
  <si>
    <t>Review Summary</t>
  </si>
  <si>
    <t>Navigate to the Score Summary sheet to see overall pass rates and average scores at a glance.</t>
  </si>
  <si>
    <t>STEP 6</t>
  </si>
  <si>
    <t>After Every Change</t>
  </si>
  <si>
    <t>When the model/prompt changes, record the version in the Version Log sheet and re-run all 5 questions. Compare before/after average scores.</t>
  </si>
  <si>
    <t>SCORING GUIDE</t>
  </si>
  <si>
    <t>9–10</t>
  </si>
  <si>
    <t>Excellent</t>
  </si>
  <si>
    <t>All key points addressed, accurate, well-structured.</t>
  </si>
  <si>
    <t>7–8</t>
  </si>
  <si>
    <t>Good</t>
  </si>
  <si>
    <t>Most key points covered, minor gaps or phrasing issues.</t>
  </si>
  <si>
    <t>5–6</t>
  </si>
  <si>
    <t>Partial</t>
  </si>
  <si>
    <t>Roughly half the key points addressed, notable gaps.</t>
  </si>
  <si>
    <t>3–4</t>
  </si>
  <si>
    <t>Poor</t>
  </si>
  <si>
    <t>Few key points addressed, significant errors or hallucinations.</t>
  </si>
  <si>
    <t>0–2</t>
  </si>
  <si>
    <t>Fail</t>
  </si>
  <si>
    <t>Completely wrong, irrelevant, or refused to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</si>
</sst>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2E6DA4"/>
      </patternFill>
    </fill>
    <fill>
      <patternFill patternType="solid">
        <fgColor rgb="FF17A589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F2F3F4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9" fontId="4" fillId="7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4" fillId="7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DEBD0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45" customWidth="1"/>
    <col min="4" max="6" width="50" customWidth="1"/>
    <col min="7" max="7" width="18" customWidth="1"/>
    <col min="8" max="8" width="14" customWidth="1"/>
    <col min="9" max="9" width="16" customWidth="1"/>
    <col min="10" max="10" width="20" customWidth="1"/>
    <col min="11" max="11" width="22" customWidth="1"/>
    <col min="12" max="13" width="30" customWidth="1"/>
    <col min="14" max="15" width="22" customWidth="1"/>
  </cols>
  <sheetData>
    <row r="1" spans="1:15" ht="40" customHeight="1" x14ac:dyDescent="0.2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0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14" customHeight="1" x14ac:dyDescent="0.2"/>
    <row r="4" spans="1:15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ht="80" customHeight="1" x14ac:dyDescent="0.2">
      <c r="A5" s="5">
        <v>1</v>
      </c>
      <c r="B5" s="5" t="s">
        <v>17</v>
      </c>
      <c r="C5" s="5" t="s">
        <v>18</v>
      </c>
      <c r="D5" s="6" t="s">
        <v>19</v>
      </c>
      <c r="E5" s="6" t="s">
        <v>20</v>
      </c>
      <c r="F5" s="5"/>
      <c r="G5" s="5"/>
      <c r="H5" s="5"/>
      <c r="I5" s="5"/>
      <c r="J5" s="7" t="str">
        <f>IF(I5="","",I5/10)</f>
        <v/>
      </c>
      <c r="K5" s="5" t="str">
        <f>IF(I5="","",IF(I5&gt;=7,"Pass",IF(I5&gt;=4,"Partial","Fail")))</f>
        <v/>
      </c>
      <c r="L5" s="5"/>
      <c r="M5" s="5"/>
      <c r="N5" s="5"/>
      <c r="O5" s="5"/>
    </row>
    <row r="6" spans="1:15" ht="80" customHeight="1" x14ac:dyDescent="0.2"/>
    <row r="7" spans="1:15" ht="80" customHeight="1" x14ac:dyDescent="0.2"/>
    <row r="8" spans="1:15" ht="80" customHeight="1" x14ac:dyDescent="0.2"/>
    <row r="9" spans="1:15" ht="80" customHeight="1" x14ac:dyDescent="0.2"/>
  </sheetData>
  <mergeCells count="2">
    <mergeCell ref="A2:O2"/>
    <mergeCell ref="A1:O1"/>
  </mergeCells>
  <conditionalFormatting sqref="I5">
    <cfRule type="colorScale" priority="1">
      <colorScale>
        <cfvo type="num" val="0"/>
        <cfvo type="num" val="5"/>
        <cfvo type="num" val="10"/>
        <color rgb="FFC0392B"/>
        <color rgb="FFF9E79F"/>
        <color rgb="FF1E8449"/>
      </colorScale>
    </cfRule>
  </conditionalFormatting>
  <conditionalFormatting sqref="K5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"Partial"</formula>
    </cfRule>
  </conditionalFormatting>
  <dataValidations count="4">
    <dataValidation type="whole" showErrorMessage="1" errorTitle="Invalid Score" error="Enter a number between 0 and 10" sqref="I5" xr:uid="{00000000-0002-0000-0000-000000000000}">
      <formula1>0</formula1>
      <formula2>10</formula2>
    </dataValidation>
    <dataValidation type="list" sqref="K5" xr:uid="{00000000-0002-0000-0000-000001000000}">
      <formula1>"Pass,Fail,Partial"</formula1>
    </dataValidation>
    <dataValidation type="list" sqref="N5" xr:uid="{00000000-0002-0000-0000-000002000000}">
      <formula1>"Yes,No"</formula1>
    </dataValidation>
    <dataValidation type="list" sqref="O5" xr:uid="{00000000-0002-0000-0000-000003000000}">
      <formula1>"High,Medium,Low"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38" customWidth="1"/>
    <col min="3" max="7" width="14" customWidth="1"/>
    <col min="8" max="8" width="30" customWidth="1"/>
  </cols>
  <sheetData>
    <row r="1" spans="1:8" ht="38" customHeight="1" x14ac:dyDescent="0.2">
      <c r="A1" s="23" t="s">
        <v>21</v>
      </c>
      <c r="B1" s="20"/>
      <c r="C1" s="20"/>
      <c r="D1" s="20"/>
      <c r="E1" s="20"/>
      <c r="F1" s="20"/>
      <c r="G1" s="20"/>
      <c r="H1" s="20"/>
    </row>
    <row r="3" spans="1:8" ht="32" customHeight="1" x14ac:dyDescent="0.2">
      <c r="A3" s="10" t="s">
        <v>3</v>
      </c>
      <c r="B3" s="10" t="s">
        <v>22</v>
      </c>
      <c r="C3" s="10" t="s">
        <v>23</v>
      </c>
      <c r="D3" s="10" t="s">
        <v>11</v>
      </c>
      <c r="E3" s="10" t="s">
        <v>24</v>
      </c>
      <c r="F3" s="10" t="s">
        <v>25</v>
      </c>
      <c r="G3" s="10" t="s">
        <v>16</v>
      </c>
      <c r="H3" s="10" t="s">
        <v>26</v>
      </c>
    </row>
    <row r="4" spans="1:8" ht="24" customHeight="1" x14ac:dyDescent="0.2">
      <c r="A4" s="5" t="str">
        <f>'Test Cases'!B5</f>
        <v>Q-001</v>
      </c>
      <c r="B4" s="5" t="s">
        <v>27</v>
      </c>
      <c r="C4" s="5">
        <f>'Test Cases'!I5</f>
        <v>0</v>
      </c>
      <c r="D4" s="7" t="str">
        <f>'Test Cases'!J5</f>
        <v/>
      </c>
      <c r="E4" s="5" t="str">
        <f>'Test Cases'!K5</f>
        <v/>
      </c>
      <c r="F4" s="5">
        <f>'Test Cases'!N5</f>
        <v>0</v>
      </c>
      <c r="G4" s="5">
        <f>'Test Cases'!O5</f>
        <v>0</v>
      </c>
      <c r="H4" s="5">
        <f>'Test Cases'!M5</f>
        <v>0</v>
      </c>
    </row>
    <row r="5" spans="1:8" ht="24" customHeight="1" x14ac:dyDescent="0.2">
      <c r="A5" s="8" t="e">
        <f>'Test Cases'!#REF!</f>
        <v>#REF!</v>
      </c>
      <c r="B5" s="8" t="s">
        <v>28</v>
      </c>
      <c r="C5" s="8" t="e">
        <f>'Test Cases'!#REF!</f>
        <v>#REF!</v>
      </c>
      <c r="D5" s="9" t="e">
        <f>'Test Cases'!#REF!</f>
        <v>#REF!</v>
      </c>
      <c r="E5" s="8" t="e">
        <f>'Test Cases'!#REF!</f>
        <v>#REF!</v>
      </c>
      <c r="F5" s="8" t="e">
        <f>'Test Cases'!#REF!</f>
        <v>#REF!</v>
      </c>
      <c r="G5" s="8" t="e">
        <f>'Test Cases'!#REF!</f>
        <v>#REF!</v>
      </c>
      <c r="H5" s="8" t="e">
        <f>'Test Cases'!#REF!</f>
        <v>#REF!</v>
      </c>
    </row>
    <row r="6" spans="1:8" ht="24" customHeight="1" x14ac:dyDescent="0.2">
      <c r="A6" s="5" t="e">
        <f>'Test Cases'!#REF!</f>
        <v>#REF!</v>
      </c>
      <c r="B6" s="5" t="s">
        <v>29</v>
      </c>
      <c r="C6" s="5" t="e">
        <f>'Test Cases'!#REF!</f>
        <v>#REF!</v>
      </c>
      <c r="D6" s="7" t="e">
        <f>'Test Cases'!#REF!</f>
        <v>#REF!</v>
      </c>
      <c r="E6" s="5" t="e">
        <f>'Test Cases'!#REF!</f>
        <v>#REF!</v>
      </c>
      <c r="F6" s="5" t="e">
        <f>'Test Cases'!#REF!</f>
        <v>#REF!</v>
      </c>
      <c r="G6" s="5" t="e">
        <f>'Test Cases'!#REF!</f>
        <v>#REF!</v>
      </c>
      <c r="H6" s="5" t="e">
        <f>'Test Cases'!#REF!</f>
        <v>#REF!</v>
      </c>
    </row>
    <row r="7" spans="1:8" ht="24" customHeight="1" x14ac:dyDescent="0.2">
      <c r="A7" s="8" t="e">
        <f>'Test Cases'!#REF!</f>
        <v>#REF!</v>
      </c>
      <c r="B7" s="8" t="s">
        <v>30</v>
      </c>
      <c r="C7" s="8" t="e">
        <f>'Test Cases'!#REF!</f>
        <v>#REF!</v>
      </c>
      <c r="D7" s="9" t="e">
        <f>'Test Cases'!#REF!</f>
        <v>#REF!</v>
      </c>
      <c r="E7" s="8" t="e">
        <f>'Test Cases'!#REF!</f>
        <v>#REF!</v>
      </c>
      <c r="F7" s="8" t="e">
        <f>'Test Cases'!#REF!</f>
        <v>#REF!</v>
      </c>
      <c r="G7" s="8" t="e">
        <f>'Test Cases'!#REF!</f>
        <v>#REF!</v>
      </c>
      <c r="H7" s="8" t="e">
        <f>'Test Cases'!#REF!</f>
        <v>#REF!</v>
      </c>
    </row>
    <row r="8" spans="1:8" ht="24" customHeight="1" x14ac:dyDescent="0.2">
      <c r="A8" s="5" t="e">
        <f>'Test Cases'!#REF!</f>
        <v>#REF!</v>
      </c>
      <c r="B8" s="5" t="s">
        <v>31</v>
      </c>
      <c r="C8" s="5" t="e">
        <f>'Test Cases'!#REF!</f>
        <v>#REF!</v>
      </c>
      <c r="D8" s="7" t="e">
        <f>'Test Cases'!#REF!</f>
        <v>#REF!</v>
      </c>
      <c r="E8" s="5" t="e">
        <f>'Test Cases'!#REF!</f>
        <v>#REF!</v>
      </c>
      <c r="F8" s="5" t="e">
        <f>'Test Cases'!#REF!</f>
        <v>#REF!</v>
      </c>
      <c r="G8" s="5" t="e">
        <f>'Test Cases'!#REF!</f>
        <v>#REF!</v>
      </c>
      <c r="H8" s="5" t="e">
        <f>'Test Cases'!#REF!</f>
        <v>#REF!</v>
      </c>
    </row>
    <row r="9" spans="1:8" ht="28" customHeight="1" x14ac:dyDescent="0.2">
      <c r="A9" s="22" t="s">
        <v>32</v>
      </c>
      <c r="B9" s="20"/>
      <c r="C9" s="11" t="e">
        <f>AVERAGE(C4:C8)</f>
        <v>#REF!</v>
      </c>
      <c r="D9" s="12" t="e">
        <f>AVERAGE(D4:D8)</f>
        <v>#REF!</v>
      </c>
    </row>
    <row r="11" spans="1:8" x14ac:dyDescent="0.2">
      <c r="A11" s="13" t="s">
        <v>33</v>
      </c>
      <c r="B11" s="14">
        <f>COUNTIF(E4:E8,"Pass")</f>
        <v>0</v>
      </c>
    </row>
    <row r="12" spans="1:8" x14ac:dyDescent="0.2">
      <c r="A12" s="13" t="s">
        <v>34</v>
      </c>
      <c r="B12" s="14">
        <f>COUNTIF(E4:E8,"Partial")</f>
        <v>0</v>
      </c>
    </row>
    <row r="13" spans="1:8" x14ac:dyDescent="0.2">
      <c r="A13" s="13" t="s">
        <v>35</v>
      </c>
      <c r="B13" s="14">
        <f>COUNTIF(E4:E8,"Fail")</f>
        <v>0</v>
      </c>
    </row>
    <row r="14" spans="1:8" x14ac:dyDescent="0.2">
      <c r="A14" s="13" t="s">
        <v>36</v>
      </c>
      <c r="B14" s="14">
        <f>COUNTIF(F4:F8,"Yes")</f>
        <v>0</v>
      </c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3" width="48" customWidth="1"/>
    <col min="4" max="5" width="18" customWidth="1"/>
    <col min="6" max="6" width="20" customWidth="1"/>
  </cols>
  <sheetData>
    <row r="1" spans="1:6" ht="38" customHeight="1" x14ac:dyDescent="0.2">
      <c r="A1" s="23" t="s">
        <v>37</v>
      </c>
      <c r="B1" s="20"/>
      <c r="C1" s="20"/>
      <c r="D1" s="20"/>
      <c r="E1" s="20"/>
      <c r="F1" s="20"/>
    </row>
    <row r="3" spans="1:6" ht="28" customHeight="1" x14ac:dyDescent="0.2">
      <c r="A3" s="10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</row>
    <row r="4" spans="1:6" ht="22" customHeight="1" x14ac:dyDescent="0.2">
      <c r="A4" s="5"/>
      <c r="B4" s="5"/>
      <c r="C4" s="5"/>
      <c r="D4" s="5"/>
      <c r="E4" s="5"/>
      <c r="F4" s="5"/>
    </row>
    <row r="5" spans="1:6" ht="22" customHeight="1" x14ac:dyDescent="0.2">
      <c r="A5" s="8"/>
      <c r="B5" s="8"/>
      <c r="C5" s="8"/>
      <c r="D5" s="8"/>
      <c r="E5" s="8"/>
      <c r="F5" s="8"/>
    </row>
    <row r="6" spans="1:6" ht="22" customHeight="1" x14ac:dyDescent="0.2">
      <c r="A6" s="5"/>
      <c r="B6" s="5"/>
      <c r="C6" s="5"/>
      <c r="D6" s="5"/>
      <c r="E6" s="5"/>
      <c r="F6" s="5"/>
    </row>
    <row r="7" spans="1:6" ht="22" customHeight="1" x14ac:dyDescent="0.2">
      <c r="A7" s="8"/>
      <c r="B7" s="8"/>
      <c r="C7" s="8"/>
      <c r="D7" s="8"/>
      <c r="E7" s="8"/>
      <c r="F7" s="8"/>
    </row>
    <row r="8" spans="1:6" ht="22" customHeight="1" x14ac:dyDescent="0.2">
      <c r="A8" s="5"/>
      <c r="B8" s="5"/>
      <c r="C8" s="5"/>
      <c r="D8" s="5"/>
      <c r="E8" s="5"/>
      <c r="F8" s="5"/>
    </row>
    <row r="9" spans="1:6" ht="22" customHeight="1" x14ac:dyDescent="0.2">
      <c r="A9" s="8"/>
      <c r="B9" s="8"/>
      <c r="C9" s="8"/>
      <c r="D9" s="8"/>
      <c r="E9" s="8"/>
      <c r="F9" s="8"/>
    </row>
    <row r="10" spans="1:6" ht="22" customHeight="1" x14ac:dyDescent="0.2">
      <c r="A10" s="5"/>
      <c r="B10" s="5"/>
      <c r="C10" s="5"/>
      <c r="D10" s="5"/>
      <c r="E10" s="5"/>
      <c r="F10" s="5"/>
    </row>
    <row r="11" spans="1:6" ht="22" customHeight="1" x14ac:dyDescent="0.2">
      <c r="A11" s="8"/>
      <c r="B11" s="8"/>
      <c r="C11" s="8"/>
      <c r="D11" s="8"/>
      <c r="E11" s="8"/>
      <c r="F11" s="8"/>
    </row>
    <row r="12" spans="1:6" ht="22" customHeight="1" x14ac:dyDescent="0.2">
      <c r="A12" s="5"/>
      <c r="B12" s="5"/>
      <c r="C12" s="5"/>
      <c r="D12" s="5"/>
      <c r="E12" s="5"/>
      <c r="F12" s="5"/>
    </row>
    <row r="13" spans="1:6" ht="22" customHeight="1" x14ac:dyDescent="0.2">
      <c r="A13" s="8"/>
      <c r="B13" s="8"/>
      <c r="C13" s="8"/>
      <c r="D13" s="8"/>
      <c r="E13" s="8"/>
      <c r="F13" s="8"/>
    </row>
    <row r="14" spans="1:6" ht="22" customHeight="1" x14ac:dyDescent="0.2">
      <c r="A14" s="5"/>
      <c r="B14" s="5"/>
      <c r="C14" s="5"/>
      <c r="D14" s="5"/>
      <c r="E14" s="5"/>
      <c r="F14" s="5"/>
    </row>
    <row r="15" spans="1:6" ht="22" customHeight="1" x14ac:dyDescent="0.2">
      <c r="A15" s="8"/>
      <c r="B15" s="8"/>
      <c r="C15" s="8"/>
      <c r="D15" s="8"/>
      <c r="E15" s="8"/>
      <c r="F15" s="8"/>
    </row>
    <row r="16" spans="1:6" ht="22" customHeight="1" x14ac:dyDescent="0.2">
      <c r="A16" s="5"/>
      <c r="B16" s="5"/>
      <c r="C16" s="5"/>
      <c r="D16" s="5"/>
      <c r="E16" s="5"/>
      <c r="F16" s="5"/>
    </row>
    <row r="17" spans="1:6" ht="22" customHeight="1" x14ac:dyDescent="0.2">
      <c r="A17" s="8"/>
      <c r="B17" s="8"/>
      <c r="C17" s="8"/>
      <c r="D17" s="8"/>
      <c r="E17" s="8"/>
      <c r="F17" s="8"/>
    </row>
    <row r="18" spans="1:6" ht="22" customHeight="1" x14ac:dyDescent="0.2">
      <c r="A18" s="5"/>
      <c r="B18" s="5"/>
      <c r="C18" s="5"/>
      <c r="D18" s="5"/>
      <c r="E18" s="5"/>
      <c r="F18" s="5"/>
    </row>
    <row r="19" spans="1:6" ht="22" customHeight="1" x14ac:dyDescent="0.2">
      <c r="A19" s="8"/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60" customWidth="1"/>
    <col min="4" max="4" width="22" customWidth="1"/>
  </cols>
  <sheetData>
    <row r="1" spans="1:4" ht="38" customHeight="1" x14ac:dyDescent="0.2">
      <c r="A1" s="23" t="s">
        <v>44</v>
      </c>
      <c r="B1" s="20"/>
      <c r="C1" s="20"/>
      <c r="D1" s="20"/>
    </row>
    <row r="3" spans="1:4" ht="24" customHeight="1" x14ac:dyDescent="0.2">
      <c r="A3" s="22" t="s">
        <v>45</v>
      </c>
      <c r="B3" s="20"/>
      <c r="C3" s="20"/>
      <c r="D3" s="20"/>
    </row>
    <row r="4" spans="1:4" ht="38" customHeight="1" x14ac:dyDescent="0.2">
      <c r="A4" s="15" t="s">
        <v>46</v>
      </c>
      <c r="B4" s="16" t="s">
        <v>47</v>
      </c>
      <c r="C4" s="26" t="s">
        <v>48</v>
      </c>
      <c r="D4" s="25"/>
    </row>
    <row r="5" spans="1:4" ht="38" customHeight="1" x14ac:dyDescent="0.2">
      <c r="A5" s="15" t="s">
        <v>49</v>
      </c>
      <c r="B5" s="16" t="s">
        <v>50</v>
      </c>
      <c r="C5" s="27" t="s">
        <v>51</v>
      </c>
      <c r="D5" s="25"/>
    </row>
    <row r="6" spans="1:4" ht="38" customHeight="1" x14ac:dyDescent="0.2">
      <c r="A6" s="15" t="s">
        <v>52</v>
      </c>
      <c r="B6" s="16" t="s">
        <v>53</v>
      </c>
      <c r="C6" s="26" t="s">
        <v>54</v>
      </c>
      <c r="D6" s="25"/>
    </row>
    <row r="7" spans="1:4" ht="38" customHeight="1" x14ac:dyDescent="0.2">
      <c r="A7" s="15" t="s">
        <v>55</v>
      </c>
      <c r="B7" s="16" t="s">
        <v>56</v>
      </c>
      <c r="C7" s="27" t="s">
        <v>57</v>
      </c>
      <c r="D7" s="25"/>
    </row>
    <row r="8" spans="1:4" ht="38" customHeight="1" x14ac:dyDescent="0.2">
      <c r="A8" s="15" t="s">
        <v>58</v>
      </c>
      <c r="B8" s="16" t="s">
        <v>59</v>
      </c>
      <c r="C8" s="26" t="s">
        <v>60</v>
      </c>
      <c r="D8" s="25"/>
    </row>
    <row r="9" spans="1:4" ht="38" customHeight="1" x14ac:dyDescent="0.2">
      <c r="A9" s="15" t="s">
        <v>61</v>
      </c>
      <c r="B9" s="16" t="s">
        <v>62</v>
      </c>
      <c r="C9" s="27" t="s">
        <v>63</v>
      </c>
      <c r="D9" s="25"/>
    </row>
    <row r="11" spans="1:4" ht="24" customHeight="1" x14ac:dyDescent="0.2">
      <c r="A11" s="28" t="s">
        <v>64</v>
      </c>
      <c r="B11" s="20"/>
      <c r="C11" s="20"/>
      <c r="D11" s="20"/>
    </row>
    <row r="12" spans="1:4" ht="28" customHeight="1" x14ac:dyDescent="0.2">
      <c r="A12" s="17" t="s">
        <v>65</v>
      </c>
      <c r="B12" s="18" t="s">
        <v>66</v>
      </c>
      <c r="C12" s="24" t="s">
        <v>67</v>
      </c>
      <c r="D12" s="25"/>
    </row>
    <row r="13" spans="1:4" ht="28" customHeight="1" x14ac:dyDescent="0.2">
      <c r="A13" s="17" t="s">
        <v>68</v>
      </c>
      <c r="B13" s="18" t="s">
        <v>69</v>
      </c>
      <c r="C13" s="24" t="s">
        <v>70</v>
      </c>
      <c r="D13" s="25"/>
    </row>
    <row r="14" spans="1:4" ht="28" customHeight="1" x14ac:dyDescent="0.2">
      <c r="A14" s="17" t="s">
        <v>71</v>
      </c>
      <c r="B14" s="18" t="s">
        <v>72</v>
      </c>
      <c r="C14" s="24" t="s">
        <v>73</v>
      </c>
      <c r="D14" s="25"/>
    </row>
    <row r="15" spans="1:4" ht="28" customHeight="1" x14ac:dyDescent="0.2">
      <c r="A15" s="17" t="s">
        <v>74</v>
      </c>
      <c r="B15" s="18" t="s">
        <v>75</v>
      </c>
      <c r="C15" s="24" t="s">
        <v>76</v>
      </c>
      <c r="D15" s="25"/>
    </row>
    <row r="16" spans="1:4" ht="28" customHeight="1" x14ac:dyDescent="0.2">
      <c r="A16" s="17" t="s">
        <v>77</v>
      </c>
      <c r="B16" s="18" t="s">
        <v>78</v>
      </c>
      <c r="C16" s="24" t="s">
        <v>79</v>
      </c>
      <c r="D16" s="25"/>
    </row>
  </sheetData>
  <mergeCells count="14">
    <mergeCell ref="A1:D1"/>
    <mergeCell ref="C12:D12"/>
    <mergeCell ref="C6:D6"/>
    <mergeCell ref="C7:D7"/>
    <mergeCell ref="C16:D16"/>
    <mergeCell ref="A11:D11"/>
    <mergeCell ref="C15:D15"/>
    <mergeCell ref="A3:D3"/>
    <mergeCell ref="C5:D5"/>
    <mergeCell ref="C14:D14"/>
    <mergeCell ref="C13:D13"/>
    <mergeCell ref="C9:D9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Score Summary</vt:lpstr>
      <vt:lpstr>Version Log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Santhosh Devadiga</cp:lastModifiedBy>
  <cp:revision/>
  <dcterms:created xsi:type="dcterms:W3CDTF">2026-03-11T15:39:20Z</dcterms:created>
  <dcterms:modified xsi:type="dcterms:W3CDTF">2026-03-25T14:40:35Z</dcterms:modified>
  <cp:category/>
  <cp:contentStatus/>
</cp:coreProperties>
</file>