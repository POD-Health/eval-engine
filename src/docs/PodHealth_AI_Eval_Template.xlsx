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91" documentId="11_B695B328009E96569B78548DE286E2FAFED07514" xr6:coauthVersionLast="47" xr6:coauthVersionMax="47" xr10:uidLastSave="{62FBD9EA-6889-4F14-8D48-92B59C520D34}"/>
  <bookViews>
    <workbookView xWindow="0" yWindow="0" windowWidth="0" windowHeight="0" xr2:uid="{00000000-000D-0000-FFFF-FFFF00000000}"/>
  </bookViews>
  <sheets>
    <sheet name="Test Cases" sheetId="1" r:id="rId1"/>
    <sheet name="Score Summary" sheetId="2" r:id="rId2"/>
    <sheet name="Version Log" sheetId="3" r:id="rId3"/>
    <sheet name="Instruc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G8" i="2"/>
  <c r="F8" i="2"/>
  <c r="C8" i="2"/>
  <c r="A8" i="2"/>
  <c r="H7" i="2"/>
  <c r="G7" i="2"/>
  <c r="F7" i="2"/>
  <c r="C7" i="2"/>
  <c r="A7" i="2"/>
  <c r="H6" i="2"/>
  <c r="G6" i="2"/>
  <c r="F6" i="2"/>
  <c r="C6" i="2"/>
  <c r="A6" i="2"/>
  <c r="H5" i="2"/>
  <c r="G5" i="2"/>
  <c r="F5" i="2"/>
  <c r="C5" i="2"/>
  <c r="A5" i="2"/>
  <c r="H4" i="2"/>
  <c r="G4" i="2"/>
  <c r="F4" i="2"/>
  <c r="B14" i="2" s="1"/>
  <c r="C4" i="2"/>
  <c r="C9" i="2" s="1"/>
  <c r="A4" i="2"/>
  <c r="K9" i="1"/>
  <c r="E8" i="2" s="1"/>
  <c r="J9" i="1"/>
  <c r="D8" i="2" s="1"/>
  <c r="K8" i="1"/>
  <c r="E7" i="2" s="1"/>
  <c r="J8" i="1"/>
  <c r="D7" i="2" s="1"/>
  <c r="K7" i="1"/>
  <c r="E6" i="2" s="1"/>
  <c r="J7" i="1"/>
  <c r="D6" i="2" s="1"/>
  <c r="K6" i="1"/>
  <c r="E5" i="2" s="1"/>
  <c r="J6" i="1"/>
  <c r="D5" i="2" s="1"/>
  <c r="K5" i="1"/>
  <c r="E4" i="2" s="1"/>
  <c r="J5" i="1"/>
  <c r="D4" i="2" s="1"/>
  <c r="D9" i="2" s="1"/>
  <c r="B13" i="2" l="1"/>
  <c r="B12" i="2"/>
  <c r="B11" i="2"/>
</calcChain>
</file>

<file path=xl/sharedStrings.xml><?xml version="1.0" encoding="utf-8"?>
<sst xmlns="http://schemas.openxmlformats.org/spreadsheetml/2006/main" count="164" uniqueCount="154">
  <si>
    <t xml:space="preserve"> POD HEALTH — AI Data Agent Evaluation Tracker</t>
  </si>
  <si>
    <t>Use this sheet to log AI responses, score accuracy, and track improvements over time after each model change.</t>
  </si>
  <si>
    <t>#</t>
  </si>
  <si>
    <t>Question ID</t>
  </si>
  <si>
    <t>Test Question</t>
  </si>
  <si>
    <t>Expected Answer (Key Points)</t>
  </si>
  <si>
    <t>Qualitative/Quantitative</t>
  </si>
  <si>
    <t>Actual AI Response</t>
  </si>
  <si>
    <t>Response Date</t>
  </si>
  <si>
    <t>Model Version</t>
  </si>
  <si>
    <t>Score (0–10)</t>
  </si>
  <si>
    <t>Accuracy %</t>
  </si>
  <si>
    <t>Pass / Fail</t>
  </si>
  <si>
    <t>Missing / Wrong Info</t>
  </si>
  <si>
    <t>Tester Notes</t>
  </si>
  <si>
    <t>Re-test Needed?</t>
  </si>
  <si>
    <t>Priority</t>
  </si>
  <si>
    <t>Q-001</t>
  </si>
  <si>
    <t>Can you tell me how my child's overall health is progressing?</t>
  </si>
  <si>
    <t>- Summarises recent health trends across all domains (physical, mental, behavioural)
- References latest health log entries
- Highlights improvements or regressions
- Provides actionable next steps</t>
  </si>
  <si>
    <t>Qualitative</t>
  </si>
  <si>
    <t>Q-002</t>
  </si>
  <si>
    <t>Can you give me a list of all the active medications my child is taking and the side effects of those medications?</t>
  </si>
  <si>
    <t>- Lists every active medication by name
- Includes dosage and frequency for each
- States known side effects per medication
- Flags any interaction warnings if present</t>
  </si>
  <si>
    <t xml:space="preserve">Quantitative
</t>
  </si>
  <si>
    <t>Q-003</t>
  </si>
  <si>
    <t>Can you give me some latest research on Autism, ADHD, Depression and Anxiety?</t>
  </si>
  <si>
    <t>- Provides recent research highlights for each condition
- Cites credible sources (journals / institutions)
- Keeps content relevant to paediatric / adolescent context
- Distinguishes between the four conditions clearly</t>
  </si>
  <si>
    <t xml:space="preserve">Qualitative
</t>
  </si>
  <si>
    <t>Q-004</t>
  </si>
  <si>
    <t>Can you summarize the last document I uploaded?</t>
  </si>
  <si>
    <t>- Identifies the most recently uploaded document
- Delivers a structured summary (key points, dates, recommendations)
- Does not fabricate content not present in the document
- Indicates document title / type</t>
  </si>
  <si>
    <t>Q-005</t>
  </si>
  <si>
    <t>Can you summarize my child's life logs?</t>
  </si>
  <si>
    <t>- Aggregates entries across the available life log period
- Highlights significant events, patterns, and mood/behaviour trends
- Organised chronologically or by theme
- Avoids fabrication — only summarises real logged data</t>
  </si>
  <si>
    <t>Q-006</t>
  </si>
  <si>
    <t>Can you list the key health observations recorded for my child in the past week?</t>
  </si>
  <si>
    <t xml:space="preserve">
-Reviews health logs from the past week
-Lists important observations or updates
-References relevant timestamps or entries
-Avoids generating information not present in the records</t>
  </si>
  <si>
    <t>Q-007</t>
  </si>
  <si>
    <t xml:space="preserve">Can you identify any potential concerns based on my child's recent health records?
</t>
  </si>
  <si>
    <t xml:space="preserve">-Reviews available health records or logs
-Highlights possible concerns if supported by data.
-Explains why the observation may be important.
-Encourages professional consultation if necessary
</t>
  </si>
  <si>
    <t>Q-008</t>
  </si>
  <si>
    <t>Can you summarize how my child has been doing over the past few days based on the logs?</t>
  </si>
  <si>
    <t xml:space="preserve">-Reviews recent life log entries
-Summarizes key observations about behavior and activities
-Highlights notable events or changes
-Avoids generating information not present in logs
</t>
  </si>
  <si>
    <t>Q-009</t>
  </si>
  <si>
    <t>Has my child shown any positive progress
 in their daily activities recently?</t>
  </si>
  <si>
    <t xml:space="preserve">-Reviews recent activity logs
-Identifies signs of improvement or progress
-References relevant entries or timestamps
-Avoids unsupported conclusions
</t>
  </si>
  <si>
    <t>Q-010</t>
  </si>
  <si>
    <t>Were there any moments where my child
 seemed calmer or happier during the day?</t>
  </si>
  <si>
    <t xml:space="preserve">-Reviews mood or activity logs
-Identifies moments of positive emotional state
-References relevant observations or timestamps
-Avoids speculation
</t>
  </si>
  <si>
    <t>Q-011</t>
  </si>
  <si>
    <t>Can you tell me if there were any challenging 
moments recorded for my child recently?</t>
  </si>
  <si>
    <t xml:space="preserve">-Reviews behavioral or activity logs
-Identifies challenging situations or events
-References timestamps or relevant entries
-Avoids assumptions beyond recorded data
</t>
  </si>
  <si>
    <t>Q-012</t>
  </si>
  <si>
    <t>Did my child participate in any activities
 that seemed enjoyable according to the logs?</t>
  </si>
  <si>
    <t xml:space="preserve">-Reviews activity entries
-Identifies activities associated with positive engagement
-References relevant log entries
-Avoids fabricating information
</t>
  </si>
  <si>
    <t>Q-013</t>
  </si>
  <si>
    <t>Can you highlight any routines that my
 child followed consistently this week?</t>
  </si>
  <si>
    <t xml:space="preserve">-Reviews logs across the week
-Identifies consistent routines or repeated activities
-Summarizes patterns clearly
-References relevant entries
</t>
  </si>
  <si>
    <t>Q-014</t>
  </si>
  <si>
    <t>Did the logs mention any situations where 
my child needed additional support?</t>
  </si>
  <si>
    <t xml:space="preserve">-Reviews behavior and observation logs
-Identifies situations requiring assistance or intervention
-References timestamps or entries
-Avoids unsupported interpretation
</t>
  </si>
  <si>
    <t>Q-015</t>
  </si>
  <si>
    <t>Can you give me an overview of my child's 
activity levels over the past few days?</t>
  </si>
  <si>
    <t xml:space="preserve">
-Reviews activity logs
-Summarizes level of engagement in activities
-Highlights notable variations in activity levels
-References relevant entries</t>
  </si>
  <si>
    <t>Q-016</t>
  </si>
  <si>
    <t>Can you tell me if my child followed 
their usual routine today?</t>
  </si>
  <si>
    <t xml:space="preserve">
-Reviews daily activity logs
-Identifies routine activities completed
-Highlights any deviations from routine
-References relevant entries</t>
  </si>
  <si>
    <t>Q-017</t>
  </si>
  <si>
    <t>Did my child seem more active or less
 active than usual according to the logs?</t>
  </si>
  <si>
    <t xml:space="preserve">
-Reviews activity logs over time.
-Compares recent activity levels with previous entries
-Highlights notable changes
-Avoids unsupported conclusions</t>
  </si>
  <si>
    <t>Q-018</t>
  </si>
  <si>
    <t>Were there any situations today where
 my child appeared relaxed or comfortable?</t>
  </si>
  <si>
    <t xml:space="preserve">-Reviews mood or behavior logs
-Identifies entries showing calm or relaxed behavior
-References relevant timestamps
-Avoids speculation
</t>
  </si>
  <si>
    <t>Q-019</t>
  </si>
  <si>
    <t>Can you summarize the key activities 
my child participated in today?</t>
  </si>
  <si>
    <t xml:space="preserve">
-Reviews activity entries for the day
-Lists key activities performed
-Organizes information chronologically
-Avoids adding information not present in logs
</t>
  </si>
  <si>
    <t>Q-020</t>
  </si>
  <si>
    <t>Did anything in the logs suggest my child 
needed extra encouragement or support?</t>
  </si>
  <si>
    <t xml:space="preserve">
-Reviews behavioral observations
-Identifies situations indicating need for support
-References relevant entries
-Avoids unsupported interpretation</t>
  </si>
  <si>
    <t>Q-021</t>
  </si>
  <si>
    <t>Can you highlight any moments where
 my child showed focus or engagement?</t>
  </si>
  <si>
    <t xml:space="preserve">-Reviews activity or behavior logs
-Identifies focused engagement in activities
-References timestamps or observations
-Avoids speculation
</t>
  </si>
  <si>
    <t>Q-022</t>
  </si>
  <si>
    <t>Did the logs mention any activities
 that helped my child stay calm?</t>
  </si>
  <si>
    <t xml:space="preserve">-Reviews activity and mood logs
-Identifies activities associated with calm behavior
-References relevant entries
-Avoids unsupported claims
</t>
  </si>
  <si>
    <t>Q-023</t>
  </si>
  <si>
    <t>Can you provide a quick overview of my 
child's behavior throughout the day?</t>
  </si>
  <si>
    <t xml:space="preserve">
-Reviews behavior logs for the day
-Summarizes key behavioral observations
-Organizes events chronologically
-Avoids fabricating information
</t>
  </si>
  <si>
    <t>Q-024</t>
  </si>
  <si>
    <t>Did my child appear engaged during 
learning or therapy activities today?</t>
  </si>
  <si>
    <t xml:space="preserve">-Reviews therapy or learning activity logs
-Identifies engagement or participation levels
-References relevant entries
-Avoids unsupported interpretation
</t>
  </si>
  <si>
    <t>Q-025</t>
  </si>
  <si>
    <t>Is there anything in today's logs that
 might help me better support my child tomorrow?</t>
  </si>
  <si>
    <t xml:space="preserve">-Reviews daily logs and observations
-Highlights notable behaviors or events
-Suggests areas parents may monitor or support
-Avoids making clinical recommendations
</t>
  </si>
  <si>
    <t>📊  Evaluation Score Summary</t>
  </si>
  <si>
    <t>Question (Short)</t>
  </si>
  <si>
    <t>Score (0-10)</t>
  </si>
  <si>
    <t>Pass/Fail</t>
  </si>
  <si>
    <t>Re-test?</t>
  </si>
  <si>
    <t>Notes</t>
  </si>
  <si>
    <t>Overall health progress</t>
  </si>
  <si>
    <t>Active medications &amp; side effects</t>
  </si>
  <si>
    <t>Latest research (Autism/ADHD/Dep/Anx)</t>
  </si>
  <si>
    <t>Summarize last uploaded document</t>
  </si>
  <si>
    <t>Summarize child's life logs</t>
  </si>
  <si>
    <t>OVERALL AVERAGE</t>
  </si>
  <si>
    <t>✅ Total Pass</t>
  </si>
  <si>
    <t>⚠️ Total Partial</t>
  </si>
  <si>
    <t>❌ Total Fail</t>
  </si>
  <si>
    <t>🔁 Re-test Required</t>
  </si>
  <si>
    <t>🔄  Model Version Change Log</t>
  </si>
  <si>
    <t>Version</t>
  </si>
  <si>
    <t>Release Date</t>
  </si>
  <si>
    <t>Change Description</t>
  </si>
  <si>
    <t>Avg Score Before</t>
  </si>
  <si>
    <t>Avg Score After</t>
  </si>
  <si>
    <t>Tested By</t>
  </si>
  <si>
    <t>📋  How to Use This Evaluation Tracker</t>
  </si>
  <si>
    <t>WORKFLOW</t>
  </si>
  <si>
    <t>STEP 1</t>
  </si>
  <si>
    <t>Run the Agent</t>
  </si>
  <si>
    <t>Paste the test question from Column C (Test Cases sheet) into the AI agent exactly as written. Do not paraphrase.</t>
  </si>
  <si>
    <t>STEP 2</t>
  </si>
  <si>
    <t>Log the Response</t>
  </si>
  <si>
    <t>Copy the AI's full response into Column E (Actual AI Response) of the relevant question row.</t>
  </si>
  <si>
    <t>STEP 3</t>
  </si>
  <si>
    <t>Score the Response</t>
  </si>
  <si>
    <t>Compare the AI response against the Expected Answer key points (Column D). Award a score 0–10 where 10 = all key points addressed accurately.</t>
  </si>
  <si>
    <t>STEP 4</t>
  </si>
  <si>
    <t>Fill Remaining Cols</t>
  </si>
  <si>
    <t>Record the Response Date, Model Version, any missing/wrong info, notes, re-test need, and priority level.</t>
  </si>
  <si>
    <t>STEP 5</t>
  </si>
  <si>
    <t>Review Summary</t>
  </si>
  <si>
    <t>Navigate to the Score Summary sheet to see overall pass rates and average scores at a glance.</t>
  </si>
  <si>
    <t>STEP 6</t>
  </si>
  <si>
    <t>After Every Change</t>
  </si>
  <si>
    <t>When the model/prompt changes, record the version in the Version Log sheet and re-run all 5 questions. Compare before/after average scores.</t>
  </si>
  <si>
    <t>SCORING GUIDE</t>
  </si>
  <si>
    <t>9–10</t>
  </si>
  <si>
    <t>Excellent</t>
  </si>
  <si>
    <t>All key points addressed, accurate, well-structured.</t>
  </si>
  <si>
    <t>7–8</t>
  </si>
  <si>
    <t>Good</t>
  </si>
  <si>
    <t>Most key points covered, minor gaps or phrasing issues.</t>
  </si>
  <si>
    <t>5–6</t>
  </si>
  <si>
    <t>Partial</t>
  </si>
  <si>
    <t>Roughly half the key points addressed, notable gaps.</t>
  </si>
  <si>
    <t>3–4</t>
  </si>
  <si>
    <t>Poor</t>
  </si>
  <si>
    <t>Few key points addressed, significant errors or hallucinations.</t>
  </si>
  <si>
    <t>0–2</t>
  </si>
  <si>
    <t>Fail</t>
  </si>
  <si>
    <t>Completely wrong, irrelevant, or refused to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</si>
</sst>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5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b/>
      <sz val="9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2E6DA4"/>
      </patternFill>
    </fill>
    <fill>
      <patternFill patternType="solid">
        <fgColor rgb="FF17A589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F2F3F4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9" fontId="4" fillId="7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9" fontId="4" fillId="9" borderId="1" xfId="0" applyNumberFormat="1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3">
    <dxf>
      <fill>
        <patternFill patternType="solid">
          <fgColor rgb="FFFDEBD0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D5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tabSelected="1" workbookViewId="0">
      <pane xSplit="4" ySplit="4" topLeftCell="E5" activePane="bottomRight" state="frozen"/>
      <selection pane="bottomRight" activeCell="P4" sqref="P4"/>
      <selection pane="bottomLeft"/>
      <selection pane="topRight"/>
    </sheetView>
  </sheetViews>
  <sheetFormatPr defaultRowHeight="15"/>
  <cols>
    <col min="1" max="1" width="6" customWidth="1"/>
    <col min="2" max="2" width="14" customWidth="1"/>
    <col min="3" max="3" width="45" customWidth="1"/>
    <col min="4" max="6" width="50" customWidth="1"/>
    <col min="7" max="7" width="18" customWidth="1"/>
    <col min="8" max="8" width="14" customWidth="1"/>
    <col min="9" max="9" width="16" customWidth="1"/>
    <col min="10" max="10" width="20" customWidth="1"/>
    <col min="11" max="11" width="22" customWidth="1"/>
    <col min="12" max="13" width="30" customWidth="1"/>
    <col min="14" max="15" width="22" customWidth="1"/>
  </cols>
  <sheetData>
    <row r="1" spans="1:15" ht="39.950000000000003" customHeight="1">
      <c r="A1" s="22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20.100000000000001" customHeight="1">
      <c r="A2" s="2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4.1" customHeight="1"/>
    <row r="4" spans="1:15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ht="80.099999999999994" customHeight="1">
      <c r="A5" s="5">
        <v>1</v>
      </c>
      <c r="B5" s="5" t="s">
        <v>17</v>
      </c>
      <c r="C5" s="5" t="s">
        <v>18</v>
      </c>
      <c r="D5" s="6" t="s">
        <v>19</v>
      </c>
      <c r="E5" s="6" t="s">
        <v>20</v>
      </c>
      <c r="F5" s="5"/>
      <c r="G5" s="5"/>
      <c r="H5" s="5"/>
      <c r="I5" s="5"/>
      <c r="J5" s="7" t="str">
        <f>IF(I5="","",I5/10)</f>
        <v/>
      </c>
      <c r="K5" s="5" t="str">
        <f>IF(I5="","",IF(I5&gt;=7,"Pass",IF(I5&gt;=4,"Partial","Fail")))</f>
        <v/>
      </c>
      <c r="L5" s="5"/>
      <c r="M5" s="5"/>
      <c r="N5" s="5"/>
      <c r="O5" s="5"/>
    </row>
    <row r="6" spans="1:15" ht="80.099999999999994" customHeight="1">
      <c r="A6" s="8">
        <v>2</v>
      </c>
      <c r="B6" s="8" t="s">
        <v>21</v>
      </c>
      <c r="C6" s="8" t="s">
        <v>22</v>
      </c>
      <c r="D6" s="6" t="s">
        <v>23</v>
      </c>
      <c r="E6" s="6" t="s">
        <v>24</v>
      </c>
      <c r="F6" s="8"/>
      <c r="G6" s="8"/>
      <c r="H6" s="8"/>
      <c r="I6" s="8"/>
      <c r="J6" s="9" t="str">
        <f>IF(I6="","",I6/10)</f>
        <v/>
      </c>
      <c r="K6" s="8" t="str">
        <f>IF(I6="","",IF(I6&gt;=7,"Pass",IF(I6&gt;=4,"Partial","Fail")))</f>
        <v/>
      </c>
      <c r="L6" s="8"/>
      <c r="M6" s="8"/>
      <c r="N6" s="8"/>
      <c r="O6" s="8"/>
    </row>
    <row r="7" spans="1:15" ht="80.099999999999994" customHeight="1">
      <c r="A7" s="5">
        <v>3</v>
      </c>
      <c r="B7" s="5" t="s">
        <v>25</v>
      </c>
      <c r="C7" s="5" t="s">
        <v>26</v>
      </c>
      <c r="D7" s="6" t="s">
        <v>27</v>
      </c>
      <c r="E7" s="6" t="s">
        <v>28</v>
      </c>
      <c r="F7" s="5"/>
      <c r="G7" s="5"/>
      <c r="H7" s="5"/>
      <c r="I7" s="5"/>
      <c r="J7" s="7" t="str">
        <f>IF(I7="","",I7/10)</f>
        <v/>
      </c>
      <c r="K7" s="5" t="str">
        <f>IF(I7="","",IF(I7&gt;=7,"Pass",IF(I7&gt;=4,"Partial","Fail")))</f>
        <v/>
      </c>
      <c r="L7" s="5"/>
      <c r="M7" s="5"/>
      <c r="N7" s="5"/>
      <c r="O7" s="5"/>
    </row>
    <row r="8" spans="1:15" ht="80.099999999999994" customHeight="1">
      <c r="A8" s="8">
        <v>4</v>
      </c>
      <c r="B8" s="8" t="s">
        <v>29</v>
      </c>
      <c r="C8" s="8" t="s">
        <v>30</v>
      </c>
      <c r="D8" s="6" t="s">
        <v>31</v>
      </c>
      <c r="E8" s="6" t="s">
        <v>28</v>
      </c>
      <c r="F8" s="8"/>
      <c r="G8" s="8"/>
      <c r="H8" s="8"/>
      <c r="I8" s="8"/>
      <c r="J8" s="9" t="str">
        <f>IF(I8="","",I8/10)</f>
        <v/>
      </c>
      <c r="K8" s="8" t="str">
        <f>IF(I8="","",IF(I8&gt;=7,"Pass",IF(I8&gt;=4,"Partial","Fail")))</f>
        <v/>
      </c>
      <c r="L8" s="8"/>
      <c r="M8" s="8"/>
      <c r="N8" s="8"/>
      <c r="O8" s="8"/>
    </row>
    <row r="9" spans="1:15" ht="80.099999999999994" customHeight="1">
      <c r="A9" s="5">
        <v>5</v>
      </c>
      <c r="B9" s="5" t="s">
        <v>32</v>
      </c>
      <c r="C9" s="19" t="s">
        <v>33</v>
      </c>
      <c r="D9" s="6" t="s">
        <v>34</v>
      </c>
      <c r="E9" s="6" t="s">
        <v>20</v>
      </c>
      <c r="F9" s="5"/>
      <c r="G9" s="5"/>
      <c r="H9" s="5"/>
      <c r="I9" s="5"/>
      <c r="J9" s="7" t="str">
        <f>IF(I9="","",I9/10)</f>
        <v/>
      </c>
      <c r="K9" s="5" t="str">
        <f>IF(I9="","",IF(I9&gt;=7,"Pass",IF(I9&gt;=4,"Partial","Fail")))</f>
        <v/>
      </c>
      <c r="L9" s="5"/>
      <c r="M9" s="5"/>
      <c r="N9" s="5"/>
      <c r="O9" s="5"/>
    </row>
    <row r="10" spans="1:15" ht="91.5">
      <c r="A10">
        <v>6</v>
      </c>
      <c r="B10" s="5" t="s">
        <v>35</v>
      </c>
      <c r="C10" s="20" t="s">
        <v>36</v>
      </c>
      <c r="D10" s="20" t="s">
        <v>37</v>
      </c>
      <c r="E10" s="20" t="s">
        <v>24</v>
      </c>
    </row>
    <row r="11" spans="1:15" ht="91.5">
      <c r="A11">
        <v>7</v>
      </c>
      <c r="B11" s="5" t="s">
        <v>38</v>
      </c>
      <c r="C11" s="20" t="s">
        <v>39</v>
      </c>
      <c r="D11" s="20" t="s">
        <v>40</v>
      </c>
      <c r="E11" s="20" t="s">
        <v>20</v>
      </c>
    </row>
    <row r="12" spans="1:15" ht="106.5">
      <c r="A12">
        <v>8</v>
      </c>
      <c r="B12" t="s">
        <v>41</v>
      </c>
      <c r="C12" s="20" t="s">
        <v>42</v>
      </c>
      <c r="D12" s="20" t="s">
        <v>43</v>
      </c>
      <c r="E12" s="20" t="s">
        <v>20</v>
      </c>
    </row>
    <row r="13" spans="1:15" ht="76.5">
      <c r="A13">
        <v>9</v>
      </c>
      <c r="B13" t="s">
        <v>44</v>
      </c>
      <c r="C13" s="20" t="s">
        <v>45</v>
      </c>
      <c r="D13" s="20" t="s">
        <v>46</v>
      </c>
      <c r="E13" s="20" t="s">
        <v>20</v>
      </c>
    </row>
    <row r="14" spans="1:15" ht="76.5">
      <c r="A14">
        <v>10</v>
      </c>
      <c r="B14" t="s">
        <v>47</v>
      </c>
      <c r="C14" s="20" t="s">
        <v>48</v>
      </c>
      <c r="D14" s="20" t="s">
        <v>49</v>
      </c>
      <c r="E14" s="20" t="s">
        <v>20</v>
      </c>
    </row>
    <row r="15" spans="1:15" ht="106.5">
      <c r="A15">
        <v>11</v>
      </c>
      <c r="B15" t="s">
        <v>50</v>
      </c>
      <c r="C15" s="20" t="s">
        <v>51</v>
      </c>
      <c r="D15" s="20" t="s">
        <v>52</v>
      </c>
      <c r="E15" s="20"/>
    </row>
    <row r="16" spans="1:15" ht="91.5">
      <c r="A16">
        <v>12</v>
      </c>
      <c r="B16" t="s">
        <v>53</v>
      </c>
      <c r="C16" s="20" t="s">
        <v>54</v>
      </c>
      <c r="D16" s="20" t="s">
        <v>55</v>
      </c>
      <c r="E16" s="20"/>
    </row>
    <row r="17" spans="1:5" ht="76.5">
      <c r="A17">
        <v>13</v>
      </c>
      <c r="B17" t="s">
        <v>56</v>
      </c>
      <c r="C17" s="20" t="s">
        <v>57</v>
      </c>
      <c r="D17" s="20" t="s">
        <v>58</v>
      </c>
      <c r="E17" s="20"/>
    </row>
    <row r="18" spans="1:5" ht="76.5">
      <c r="A18">
        <v>14</v>
      </c>
      <c r="B18" t="s">
        <v>59</v>
      </c>
      <c r="C18" s="20" t="s">
        <v>60</v>
      </c>
      <c r="D18" s="20" t="s">
        <v>61</v>
      </c>
      <c r="E18" s="20"/>
    </row>
    <row r="19" spans="1:5" ht="76.5">
      <c r="A19">
        <v>15</v>
      </c>
      <c r="B19" t="s">
        <v>62</v>
      </c>
      <c r="C19" s="20" t="s">
        <v>63</v>
      </c>
      <c r="D19" s="20" t="s">
        <v>64</v>
      </c>
      <c r="E19" s="20"/>
    </row>
    <row r="20" spans="1:5" ht="76.5">
      <c r="A20">
        <v>16</v>
      </c>
      <c r="B20" t="s">
        <v>65</v>
      </c>
      <c r="C20" s="20" t="s">
        <v>66</v>
      </c>
      <c r="D20" s="20" t="s">
        <v>67</v>
      </c>
      <c r="E20" s="20"/>
    </row>
    <row r="21" spans="1:5" ht="76.5">
      <c r="A21">
        <v>17</v>
      </c>
      <c r="B21" t="s">
        <v>68</v>
      </c>
      <c r="C21" s="20" t="s">
        <v>69</v>
      </c>
      <c r="D21" s="20" t="s">
        <v>70</v>
      </c>
      <c r="E21" s="20"/>
    </row>
    <row r="22" spans="1:5" ht="76.5">
      <c r="A22">
        <v>18</v>
      </c>
      <c r="B22" t="s">
        <v>71</v>
      </c>
      <c r="C22" s="20" t="s">
        <v>72</v>
      </c>
      <c r="D22" s="20" t="s">
        <v>73</v>
      </c>
      <c r="E22" s="20"/>
    </row>
    <row r="23" spans="1:5" ht="137.25">
      <c r="A23">
        <v>19</v>
      </c>
      <c r="B23" t="s">
        <v>74</v>
      </c>
      <c r="C23" s="20" t="s">
        <v>75</v>
      </c>
      <c r="D23" s="20" t="s">
        <v>76</v>
      </c>
      <c r="E23" s="20"/>
    </row>
    <row r="24" spans="1:5" ht="76.5">
      <c r="A24">
        <v>20</v>
      </c>
      <c r="B24" t="s">
        <v>77</v>
      </c>
      <c r="C24" s="20" t="s">
        <v>78</v>
      </c>
      <c r="D24" s="20" t="s">
        <v>79</v>
      </c>
      <c r="E24" s="20"/>
    </row>
    <row r="25" spans="1:5" ht="76.5">
      <c r="A25">
        <v>21</v>
      </c>
      <c r="B25" t="s">
        <v>80</v>
      </c>
      <c r="C25" s="20" t="s">
        <v>81</v>
      </c>
      <c r="D25" s="20" t="s">
        <v>82</v>
      </c>
      <c r="E25" s="20"/>
    </row>
    <row r="26" spans="1:5" ht="76.5">
      <c r="A26">
        <v>22</v>
      </c>
      <c r="B26" t="s">
        <v>83</v>
      </c>
      <c r="C26" s="20" t="s">
        <v>84</v>
      </c>
      <c r="D26" s="20" t="s">
        <v>85</v>
      </c>
      <c r="E26" s="20"/>
    </row>
    <row r="27" spans="1:5" ht="121.5">
      <c r="A27">
        <v>23</v>
      </c>
      <c r="B27" t="s">
        <v>86</v>
      </c>
      <c r="C27" s="20" t="s">
        <v>87</v>
      </c>
      <c r="D27" s="20" t="s">
        <v>88</v>
      </c>
      <c r="E27" s="20"/>
    </row>
    <row r="28" spans="1:5" ht="76.5">
      <c r="A28">
        <v>24</v>
      </c>
      <c r="B28" t="s">
        <v>89</v>
      </c>
      <c r="C28" s="20" t="s">
        <v>90</v>
      </c>
      <c r="D28" s="20" t="s">
        <v>91</v>
      </c>
      <c r="E28" s="20"/>
    </row>
    <row r="29" spans="1:5" ht="76.5">
      <c r="A29">
        <v>25</v>
      </c>
      <c r="B29" t="s">
        <v>92</v>
      </c>
      <c r="C29" s="20" t="s">
        <v>93</v>
      </c>
      <c r="D29" s="20" t="s">
        <v>94</v>
      </c>
      <c r="E29" s="20"/>
    </row>
  </sheetData>
  <mergeCells count="2">
    <mergeCell ref="A2:O2"/>
    <mergeCell ref="A1:O1"/>
  </mergeCells>
  <conditionalFormatting sqref="I5:I96">
    <cfRule type="colorScale" priority="1">
      <colorScale>
        <cfvo type="num" val="0"/>
        <cfvo type="num" val="5"/>
        <cfvo type="num" val="10"/>
        <color rgb="FFC0392B"/>
        <color rgb="FFF9E79F"/>
        <color rgb="FF1E8449"/>
      </colorScale>
    </cfRule>
  </conditionalFormatting>
  <conditionalFormatting sqref="K5:K96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"Partial"</formula>
    </cfRule>
  </conditionalFormatting>
  <dataValidations count="4">
    <dataValidation type="whole" showErrorMessage="1" errorTitle="Invalid Score" error="Enter a number between 0 and 10" sqref="I5:I96" xr:uid="{00000000-0002-0000-0000-000000000000}">
      <formula1>0</formula1>
      <formula2>10</formula2>
    </dataValidation>
    <dataValidation type="list" sqref="K5:K96" xr:uid="{00000000-0002-0000-0000-000001000000}">
      <formula1>"Pass,Fail,Partial"</formula1>
    </dataValidation>
    <dataValidation type="list" sqref="N5:N96" xr:uid="{00000000-0002-0000-0000-000002000000}">
      <formula1>"Yes,No"</formula1>
    </dataValidation>
    <dataValidation type="list" sqref="O5:O96" xr:uid="{00000000-0002-0000-0000-000003000000}">
      <formula1>"High,Medium,Low"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/>
  </sheetViews>
  <sheetFormatPr defaultRowHeight="15"/>
  <cols>
    <col min="1" max="1" width="14" customWidth="1"/>
    <col min="2" max="2" width="38" customWidth="1"/>
    <col min="3" max="7" width="14" customWidth="1"/>
    <col min="8" max="8" width="30" customWidth="1"/>
  </cols>
  <sheetData>
    <row r="1" spans="1:8" ht="38.1" customHeight="1">
      <c r="A1" s="24" t="s">
        <v>95</v>
      </c>
      <c r="B1" s="29"/>
      <c r="C1" s="29"/>
      <c r="D1" s="29"/>
      <c r="E1" s="29"/>
      <c r="F1" s="29"/>
      <c r="G1" s="29"/>
      <c r="H1" s="29"/>
    </row>
    <row r="3" spans="1:8" ht="32.1" customHeight="1">
      <c r="A3" s="10" t="s">
        <v>3</v>
      </c>
      <c r="B3" s="10" t="s">
        <v>96</v>
      </c>
      <c r="C3" s="10" t="s">
        <v>97</v>
      </c>
      <c r="D3" s="10" t="s">
        <v>11</v>
      </c>
      <c r="E3" s="10" t="s">
        <v>98</v>
      </c>
      <c r="F3" s="10" t="s">
        <v>99</v>
      </c>
      <c r="G3" s="10" t="s">
        <v>16</v>
      </c>
      <c r="H3" s="10" t="s">
        <v>100</v>
      </c>
    </row>
    <row r="4" spans="1:8" ht="24" customHeight="1">
      <c r="A4" s="5" t="str">
        <f>'Test Cases'!B5</f>
        <v>Q-001</v>
      </c>
      <c r="B4" s="5" t="s">
        <v>101</v>
      </c>
      <c r="C4" s="5">
        <f>'Test Cases'!I5</f>
        <v>0</v>
      </c>
      <c r="D4" s="7" t="str">
        <f>'Test Cases'!J5</f>
        <v/>
      </c>
      <c r="E4" s="5" t="str">
        <f>'Test Cases'!K5</f>
        <v/>
      </c>
      <c r="F4" s="5">
        <f>'Test Cases'!N5</f>
        <v>0</v>
      </c>
      <c r="G4" s="5">
        <f>'Test Cases'!O5</f>
        <v>0</v>
      </c>
      <c r="H4" s="5">
        <f>'Test Cases'!M5</f>
        <v>0</v>
      </c>
    </row>
    <row r="5" spans="1:8" ht="24" customHeight="1">
      <c r="A5" s="8" t="str">
        <f>'Test Cases'!B6</f>
        <v>Q-002</v>
      </c>
      <c r="B5" s="8" t="s">
        <v>102</v>
      </c>
      <c r="C5" s="8">
        <f>'Test Cases'!I6</f>
        <v>0</v>
      </c>
      <c r="D5" s="9" t="str">
        <f>'Test Cases'!J6</f>
        <v/>
      </c>
      <c r="E5" s="8" t="str">
        <f>'Test Cases'!K6</f>
        <v/>
      </c>
      <c r="F5" s="8">
        <f>'Test Cases'!N6</f>
        <v>0</v>
      </c>
      <c r="G5" s="8">
        <f>'Test Cases'!O6</f>
        <v>0</v>
      </c>
      <c r="H5" s="8">
        <f>'Test Cases'!M6</f>
        <v>0</v>
      </c>
    </row>
    <row r="6" spans="1:8" ht="24" customHeight="1">
      <c r="A6" s="5" t="str">
        <f>'Test Cases'!B7</f>
        <v>Q-003</v>
      </c>
      <c r="B6" s="5" t="s">
        <v>103</v>
      </c>
      <c r="C6" s="5">
        <f>'Test Cases'!I7</f>
        <v>0</v>
      </c>
      <c r="D6" s="7" t="str">
        <f>'Test Cases'!J7</f>
        <v/>
      </c>
      <c r="E6" s="5" t="str">
        <f>'Test Cases'!K7</f>
        <v/>
      </c>
      <c r="F6" s="5">
        <f>'Test Cases'!N7</f>
        <v>0</v>
      </c>
      <c r="G6" s="5">
        <f>'Test Cases'!O7</f>
        <v>0</v>
      </c>
      <c r="H6" s="5">
        <f>'Test Cases'!M7</f>
        <v>0</v>
      </c>
    </row>
    <row r="7" spans="1:8" ht="24" customHeight="1">
      <c r="A7" s="8" t="str">
        <f>'Test Cases'!B8</f>
        <v>Q-004</v>
      </c>
      <c r="B7" s="8" t="s">
        <v>104</v>
      </c>
      <c r="C7" s="8">
        <f>'Test Cases'!I8</f>
        <v>0</v>
      </c>
      <c r="D7" s="9" t="str">
        <f>'Test Cases'!J8</f>
        <v/>
      </c>
      <c r="E7" s="8" t="str">
        <f>'Test Cases'!K8</f>
        <v/>
      </c>
      <c r="F7" s="8">
        <f>'Test Cases'!N8</f>
        <v>0</v>
      </c>
      <c r="G7" s="8">
        <f>'Test Cases'!O8</f>
        <v>0</v>
      </c>
      <c r="H7" s="8">
        <f>'Test Cases'!M8</f>
        <v>0</v>
      </c>
    </row>
    <row r="8" spans="1:8" ht="24" customHeight="1">
      <c r="A8" s="5" t="str">
        <f>'Test Cases'!B9</f>
        <v>Q-005</v>
      </c>
      <c r="B8" s="5" t="s">
        <v>105</v>
      </c>
      <c r="C8" s="5">
        <f>'Test Cases'!I9</f>
        <v>0</v>
      </c>
      <c r="D8" s="7" t="str">
        <f>'Test Cases'!J9</f>
        <v/>
      </c>
      <c r="E8" s="5" t="str">
        <f>'Test Cases'!K9</f>
        <v/>
      </c>
      <c r="F8" s="5">
        <f>'Test Cases'!N9</f>
        <v>0</v>
      </c>
      <c r="G8" s="5">
        <f>'Test Cases'!O9</f>
        <v>0</v>
      </c>
      <c r="H8" s="5">
        <f>'Test Cases'!M9</f>
        <v>0</v>
      </c>
    </row>
    <row r="9" spans="1:8" ht="27.95" customHeight="1">
      <c r="A9" s="23" t="s">
        <v>106</v>
      </c>
      <c r="B9" s="29"/>
      <c r="C9" s="11">
        <f>AVERAGE(C4:C8)</f>
        <v>0</v>
      </c>
      <c r="D9" s="12" t="e">
        <f>AVERAGE(D4:D8)</f>
        <v>#DIV/0!</v>
      </c>
    </row>
    <row r="11" spans="1:8">
      <c r="A11" s="13" t="s">
        <v>107</v>
      </c>
      <c r="B11" s="14">
        <f>COUNTIF(E4:E8,"Pass")</f>
        <v>0</v>
      </c>
    </row>
    <row r="12" spans="1:8">
      <c r="A12" s="13" t="s">
        <v>108</v>
      </c>
      <c r="B12" s="14">
        <f>COUNTIF(E4:E8,"Partial")</f>
        <v>0</v>
      </c>
    </row>
    <row r="13" spans="1:8">
      <c r="A13" s="13" t="s">
        <v>109</v>
      </c>
      <c r="B13" s="14">
        <f>COUNTIF(E4:E8,"Fail")</f>
        <v>0</v>
      </c>
    </row>
    <row r="14" spans="1:8">
      <c r="A14" s="13" t="s">
        <v>110</v>
      </c>
      <c r="B14" s="14">
        <f>COUNTIF(F4:F8,"Yes")</f>
        <v>0</v>
      </c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5"/>
  <cols>
    <col min="1" max="1" width="14" customWidth="1"/>
    <col min="2" max="2" width="16" customWidth="1"/>
    <col min="3" max="3" width="48" customWidth="1"/>
    <col min="4" max="5" width="18" customWidth="1"/>
    <col min="6" max="6" width="20" customWidth="1"/>
  </cols>
  <sheetData>
    <row r="1" spans="1:6" ht="38.1" customHeight="1">
      <c r="A1" s="24" t="s">
        <v>111</v>
      </c>
      <c r="B1" s="29"/>
      <c r="C1" s="29"/>
      <c r="D1" s="29"/>
      <c r="E1" s="29"/>
      <c r="F1" s="29"/>
    </row>
    <row r="3" spans="1:6" ht="27.95" customHeight="1">
      <c r="A3" s="10" t="s">
        <v>112</v>
      </c>
      <c r="B3" s="10" t="s">
        <v>113</v>
      </c>
      <c r="C3" s="10" t="s">
        <v>114</v>
      </c>
      <c r="D3" s="10" t="s">
        <v>115</v>
      </c>
      <c r="E3" s="10" t="s">
        <v>116</v>
      </c>
      <c r="F3" s="10" t="s">
        <v>117</v>
      </c>
    </row>
    <row r="4" spans="1:6" ht="21.95" customHeight="1">
      <c r="A4" s="5"/>
      <c r="B4" s="5"/>
      <c r="C4" s="5"/>
      <c r="D4" s="5"/>
      <c r="E4" s="5"/>
      <c r="F4" s="5"/>
    </row>
    <row r="5" spans="1:6" ht="21.95" customHeight="1">
      <c r="A5" s="8"/>
      <c r="B5" s="8"/>
      <c r="C5" s="8"/>
      <c r="D5" s="8"/>
      <c r="E5" s="8"/>
      <c r="F5" s="8"/>
    </row>
    <row r="6" spans="1:6" ht="21.95" customHeight="1">
      <c r="A6" s="5"/>
      <c r="B6" s="5"/>
      <c r="C6" s="5"/>
      <c r="D6" s="5"/>
      <c r="E6" s="5"/>
      <c r="F6" s="5"/>
    </row>
    <row r="7" spans="1:6" ht="21.95" customHeight="1">
      <c r="A7" s="8"/>
      <c r="B7" s="8"/>
      <c r="C7" s="8"/>
      <c r="D7" s="8"/>
      <c r="E7" s="8"/>
      <c r="F7" s="8"/>
    </row>
    <row r="8" spans="1:6" ht="21.95" customHeight="1">
      <c r="A8" s="5"/>
      <c r="B8" s="5"/>
      <c r="C8" s="5"/>
      <c r="D8" s="5"/>
      <c r="E8" s="5"/>
      <c r="F8" s="5"/>
    </row>
    <row r="9" spans="1:6" ht="21.95" customHeight="1">
      <c r="A9" s="8"/>
      <c r="B9" s="8"/>
      <c r="C9" s="8"/>
      <c r="D9" s="8"/>
      <c r="E9" s="8"/>
      <c r="F9" s="8"/>
    </row>
    <row r="10" spans="1:6" ht="21.95" customHeight="1">
      <c r="A10" s="5"/>
      <c r="B10" s="5"/>
      <c r="C10" s="5"/>
      <c r="D10" s="5"/>
      <c r="E10" s="5"/>
      <c r="F10" s="5"/>
    </row>
    <row r="11" spans="1:6" ht="21.95" customHeight="1">
      <c r="A11" s="8"/>
      <c r="B11" s="8"/>
      <c r="C11" s="8"/>
      <c r="D11" s="8"/>
      <c r="E11" s="8"/>
      <c r="F11" s="8"/>
    </row>
    <row r="12" spans="1:6" ht="21.95" customHeight="1">
      <c r="A12" s="5"/>
      <c r="B12" s="5"/>
      <c r="C12" s="5"/>
      <c r="D12" s="5"/>
      <c r="E12" s="5"/>
      <c r="F12" s="5"/>
    </row>
    <row r="13" spans="1:6" ht="21.95" customHeight="1">
      <c r="A13" s="8"/>
      <c r="B13" s="8"/>
      <c r="C13" s="8"/>
      <c r="D13" s="8"/>
      <c r="E13" s="8"/>
      <c r="F13" s="8"/>
    </row>
    <row r="14" spans="1:6" ht="21.95" customHeight="1">
      <c r="A14" s="5"/>
      <c r="B14" s="5"/>
      <c r="C14" s="5"/>
      <c r="D14" s="5"/>
      <c r="E14" s="5"/>
      <c r="F14" s="5"/>
    </row>
    <row r="15" spans="1:6" ht="21.95" customHeight="1">
      <c r="A15" s="8"/>
      <c r="B15" s="8"/>
      <c r="C15" s="8"/>
      <c r="D15" s="8"/>
      <c r="E15" s="8"/>
      <c r="F15" s="8"/>
    </row>
    <row r="16" spans="1:6" ht="21.95" customHeight="1">
      <c r="A16" s="5"/>
      <c r="B16" s="5"/>
      <c r="C16" s="5"/>
      <c r="D16" s="5"/>
      <c r="E16" s="5"/>
      <c r="F16" s="5"/>
    </row>
    <row r="17" spans="1:6" ht="21.95" customHeight="1">
      <c r="A17" s="8"/>
      <c r="B17" s="8"/>
      <c r="C17" s="8"/>
      <c r="D17" s="8"/>
      <c r="E17" s="8"/>
      <c r="F17" s="8"/>
    </row>
    <row r="18" spans="1:6" ht="21.95" customHeight="1">
      <c r="A18" s="5"/>
      <c r="B18" s="5"/>
      <c r="C18" s="5"/>
      <c r="D18" s="5"/>
      <c r="E18" s="5"/>
      <c r="F18" s="5"/>
    </row>
    <row r="19" spans="1:6" ht="21.95" customHeight="1">
      <c r="A19" s="8"/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/>
  <cols>
    <col min="1" max="1" width="5" customWidth="1"/>
    <col min="2" max="2" width="22" customWidth="1"/>
    <col min="3" max="3" width="60" customWidth="1"/>
    <col min="4" max="4" width="22" customWidth="1"/>
  </cols>
  <sheetData>
    <row r="1" spans="1:4" ht="38.1" customHeight="1">
      <c r="A1" s="24" t="s">
        <v>118</v>
      </c>
      <c r="B1" s="29"/>
      <c r="C1" s="29"/>
      <c r="D1" s="29"/>
    </row>
    <row r="3" spans="1:4" ht="24" customHeight="1">
      <c r="A3" s="23" t="s">
        <v>119</v>
      </c>
      <c r="B3" s="29"/>
      <c r="C3" s="29"/>
      <c r="D3" s="29"/>
    </row>
    <row r="4" spans="1:4" ht="38.1" customHeight="1">
      <c r="A4" s="15" t="s">
        <v>120</v>
      </c>
      <c r="B4" s="16" t="s">
        <v>121</v>
      </c>
      <c r="C4" s="26" t="s">
        <v>122</v>
      </c>
      <c r="D4" s="30"/>
    </row>
    <row r="5" spans="1:4" ht="38.1" customHeight="1">
      <c r="A5" s="15" t="s">
        <v>123</v>
      </c>
      <c r="B5" s="16" t="s">
        <v>124</v>
      </c>
      <c r="C5" s="27" t="s">
        <v>125</v>
      </c>
      <c r="D5" s="30"/>
    </row>
    <row r="6" spans="1:4" ht="38.1" customHeight="1">
      <c r="A6" s="15" t="s">
        <v>126</v>
      </c>
      <c r="B6" s="16" t="s">
        <v>127</v>
      </c>
      <c r="C6" s="26" t="s">
        <v>128</v>
      </c>
      <c r="D6" s="30"/>
    </row>
    <row r="7" spans="1:4" ht="38.1" customHeight="1">
      <c r="A7" s="15" t="s">
        <v>129</v>
      </c>
      <c r="B7" s="16" t="s">
        <v>130</v>
      </c>
      <c r="C7" s="27" t="s">
        <v>131</v>
      </c>
      <c r="D7" s="30"/>
    </row>
    <row r="8" spans="1:4" ht="38.1" customHeight="1">
      <c r="A8" s="15" t="s">
        <v>132</v>
      </c>
      <c r="B8" s="16" t="s">
        <v>133</v>
      </c>
      <c r="C8" s="26" t="s">
        <v>134</v>
      </c>
      <c r="D8" s="30"/>
    </row>
    <row r="9" spans="1:4" ht="38.1" customHeight="1">
      <c r="A9" s="15" t="s">
        <v>135</v>
      </c>
      <c r="B9" s="16" t="s">
        <v>136</v>
      </c>
      <c r="C9" s="27" t="s">
        <v>137</v>
      </c>
      <c r="D9" s="30"/>
    </row>
    <row r="11" spans="1:4" ht="24" customHeight="1">
      <c r="A11" s="28" t="s">
        <v>138</v>
      </c>
      <c r="B11" s="29"/>
      <c r="C11" s="29"/>
      <c r="D11" s="29"/>
    </row>
    <row r="12" spans="1:4" ht="27.95" customHeight="1">
      <c r="A12" s="17" t="s">
        <v>139</v>
      </c>
      <c r="B12" s="18" t="s">
        <v>140</v>
      </c>
      <c r="C12" s="25" t="s">
        <v>141</v>
      </c>
      <c r="D12" s="30"/>
    </row>
    <row r="13" spans="1:4" ht="27.95" customHeight="1">
      <c r="A13" s="17" t="s">
        <v>142</v>
      </c>
      <c r="B13" s="18" t="s">
        <v>143</v>
      </c>
      <c r="C13" s="25" t="s">
        <v>144</v>
      </c>
      <c r="D13" s="30"/>
    </row>
    <row r="14" spans="1:4" ht="27.95" customHeight="1">
      <c r="A14" s="17" t="s">
        <v>145</v>
      </c>
      <c r="B14" s="18" t="s">
        <v>146</v>
      </c>
      <c r="C14" s="25" t="s">
        <v>147</v>
      </c>
      <c r="D14" s="30"/>
    </row>
    <row r="15" spans="1:4" ht="27.95" customHeight="1">
      <c r="A15" s="17" t="s">
        <v>148</v>
      </c>
      <c r="B15" s="18" t="s">
        <v>149</v>
      </c>
      <c r="C15" s="25" t="s">
        <v>150</v>
      </c>
      <c r="D15" s="30"/>
    </row>
    <row r="16" spans="1:4" ht="27.95" customHeight="1">
      <c r="A16" s="17" t="s">
        <v>151</v>
      </c>
      <c r="B16" s="18" t="s">
        <v>152</v>
      </c>
      <c r="C16" s="25" t="s">
        <v>153</v>
      </c>
      <c r="D16" s="30"/>
    </row>
  </sheetData>
  <mergeCells count="14">
    <mergeCell ref="A1:D1"/>
    <mergeCell ref="C12:D12"/>
    <mergeCell ref="C6:D6"/>
    <mergeCell ref="C7:D7"/>
    <mergeCell ref="C16:D16"/>
    <mergeCell ref="A11:D11"/>
    <mergeCell ref="C15:D15"/>
    <mergeCell ref="A3:D3"/>
    <mergeCell ref="C5:D5"/>
    <mergeCell ref="C14:D14"/>
    <mergeCell ref="C13:D13"/>
    <mergeCell ref="C9:D9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Zainab Alkhalaf</cp:lastModifiedBy>
  <cp:revision/>
  <dcterms:created xsi:type="dcterms:W3CDTF">2026-03-11T15:39:20Z</dcterms:created>
  <dcterms:modified xsi:type="dcterms:W3CDTF">2026-03-16T10:53:11Z</dcterms:modified>
  <cp:category/>
  <cp:contentStatus/>
</cp:coreProperties>
</file>